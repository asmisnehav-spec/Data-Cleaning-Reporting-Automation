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9CA7DE1-DE3F-4BFB-9692-C0321A47C9C1}" xr6:coauthVersionLast="47" xr6:coauthVersionMax="47" xr10:uidLastSave="{00000000-0000-0000-0000-000000000000}"/>
  <bookViews>
    <workbookView xWindow="-110" yWindow="-110" windowWidth="19420" windowHeight="11500" firstSheet="1" activeTab="1" xr2:uid="{7F7E1DDE-3781-814A-825E-072C922D74F6}"/>
  </bookViews>
  <sheets>
    <sheet name="Raw Data" sheetId="3" r:id="rId1"/>
    <sheet name="Cleaned Data" sheetId="2" r:id="rId2"/>
    <sheet name="Revenue By region &amp; Department" sheetId="4" r:id="rId3"/>
    <sheet name="Payment methods" sheetId="5" r:id="rId4"/>
    <sheet name="Profit By Department" sheetId="6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<sst xmlns="http://schemas.openxmlformats.org/spreadsheetml/2006/main" count="309" uniqueCount="138">
  <si>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</si>
  <si>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</si>
  <si>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</si>
  <si>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</si>
  <si>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</si>
  <si>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</si>
  <si>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</si>
  <si>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</si>
  <si>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</si>
  <si>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</si>
  <si>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</si>
  <si>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</si>
  <si>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</si>
  <si>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</si>
  <si>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</si>
  <si>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</si>
  <si>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</si>
  <si>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</si>
  <si>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</si>
  <si>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</si>
  <si>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</si>
  <si>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</si>
  <si>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</si>
  <si>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</si>
  <si>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</si>
  <si>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</si>
  <si>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</si>
  <si>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</si>
  <si>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</si>
  <si>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</si>
  <si>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</si>
  <si>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</si>
  <si>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</si>
  <si>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</si>
  <si>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</si>
  <si>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</si>
  <si>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</si>
  <si>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</si>
  <si>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</si>
  <si>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</si>
  <si>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</si>
  <si>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</si>
  <si>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</si>
  <si>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</si>
  <si>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</si>
  <si>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</si>
  <si>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</si>
  <si>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</si>
  <si>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</si>
  <si>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</si>
  <si>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</si>
  <si>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</si>
  <si>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</si>
  <si>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</si>
  <si>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</si>
  <si>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</si>
  <si>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</si>
  <si>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</si>
  <si>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</si>
  <si>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</si>
  <si>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</si>
  <si>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</si>
  <si>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</si>
  <si>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</si>
  <si>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</si>
  <si>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</si>
  <si>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</si>
  <si>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</si>
  <si>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</si>
  <si>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</si>
  <si>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</si>
  <si>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</si>
  <si>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</si>
  <si>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</si>
  <si>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</si>
  <si>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</si>
  <si>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</si>
  <si>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</si>
  <si>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</si>
  <si>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</si>
  <si>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</si>
  <si>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</si>
  <si>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</si>
  <si>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</si>
  <si>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</si>
  <si>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</si>
  <si>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</si>
  <si>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</si>
  <si>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</si>
  <si>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</si>
  <si>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</si>
  <si>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</si>
  <si>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</si>
  <si>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</si>
  <si>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</si>
  <si>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</si>
  <si>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</si>
  <si>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</si>
  <si>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</si>
  <si>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</si>
  <si>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</si>
  <si>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</si>
  <si>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</si>
  <si>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</si>
  <si>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</si>
  <si>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</si>
  <si>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</si>
  <si>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</si>
  <si>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</si>
  <si>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</si>
  <si>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</si>
  <si>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</si>
  <si>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</si>
  <si>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</si>
  <si>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</si>
  <si>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</si>
  <si>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</si>
  <si>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</si>
  <si>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</si>
  <si>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</si>
  <si>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</si>
  <si>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</si>
  <si>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</si>
  <si>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</si>
  <si>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</si>
  <si>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</si>
  <si>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</si>
  <si>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</si>
  <si>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</si>
  <si>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</si>
  <si>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</si>
  <si>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</si>
  <si>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</si>
  <si>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Row Labels</t>
  </si>
  <si>
    <t>Sum of Revenue</t>
  </si>
  <si>
    <t>Grand Total</t>
  </si>
  <si>
    <t>Sum of Profit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</si>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</sst>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&quot;$&quot;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&amp; Reporting Automation.xlsx]Revenue By region &amp; Department!PivotTable2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region &amp; Department'!$B$3:$B$4</c:f>
              <c:strCache>
                <c:ptCount val="1"/>
                <c:pt idx="0">
                  <c:v>Big 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region &amp; Department'!$A$5:$A$9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'Revenue By region &amp; Department'!$B$5:$B$9</c:f>
              <c:numCache>
                <c:formatCode>General</c:formatCode>
                <c:ptCount val="4"/>
                <c:pt idx="0">
                  <c:v>32250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E-453B-9686-5472B9B3ACD0}"/>
            </c:ext>
          </c:extLst>
        </c:ser>
        <c:ser>
          <c:idx val="1"/>
          <c:order val="1"/>
          <c:tx>
            <c:strRef>
              <c:f>'Revenue By region &amp; Department'!$C$3:$C$4</c:f>
              <c:strCache>
                <c:ptCount val="1"/>
                <c:pt idx="0">
                  <c:v>Cloud Tech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region &amp; Department'!$A$5:$A$9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'Revenue By region &amp; Department'!$C$5:$C$9</c:f>
              <c:numCache>
                <c:formatCode>General</c:formatCode>
                <c:ptCount val="4"/>
                <c:pt idx="3">
                  <c:v>32475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E-453B-9686-5472B9B3ACD0}"/>
            </c:ext>
          </c:extLst>
        </c:ser>
        <c:ser>
          <c:idx val="2"/>
          <c:order val="2"/>
          <c:tx>
            <c:strRef>
              <c:f>'Revenue By region &amp; Department'!$D$3:$D$4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region &amp; Department'!$A$5:$A$9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'Revenue By region &amp; Department'!$D$5:$D$9</c:f>
              <c:numCache>
                <c:formatCode>General</c:formatCode>
                <c:ptCount val="4"/>
                <c:pt idx="1">
                  <c:v>23070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E-453B-9686-5472B9B3ACD0}"/>
            </c:ext>
          </c:extLst>
        </c:ser>
        <c:ser>
          <c:idx val="3"/>
          <c:order val="3"/>
          <c:tx>
            <c:strRef>
              <c:f>'Revenue By region &amp; Department'!$E$3:$E$4</c:f>
              <c:strCache>
                <c:ptCount val="1"/>
                <c:pt idx="0">
                  <c:v>Strategy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region &amp; Department'!$A$5:$A$9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'Revenue By region &amp; Department'!$E$5:$E$9</c:f>
              <c:numCache>
                <c:formatCode>General</c:formatCode>
                <c:ptCount val="4"/>
                <c:pt idx="2">
                  <c:v>41537.5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E-453B-9686-5472B9B3A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48800383"/>
        <c:axId val="2048800799"/>
      </c:barChart>
      <c:catAx>
        <c:axId val="20488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00799"/>
        <c:crosses val="autoZero"/>
        <c:auto val="1"/>
        <c:lblAlgn val="ctr"/>
        <c:lblOffset val="100"/>
        <c:noMultiLvlLbl val="0"/>
      </c:catAx>
      <c:valAx>
        <c:axId val="20488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&amp; Reporting Automation.xlsx]Payment methods!PivotTable3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'Payment methods'!$B$3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methods'!$A$4:$A$9</c:f>
              <c:strCache>
                <c:ptCount val="5"/>
                <c:pt idx="0">
                  <c:v>Card</c:v>
                </c:pt>
                <c:pt idx="1">
                  <c:v>Check</c:v>
                </c:pt>
                <c:pt idx="2">
                  <c:v>NA</c:v>
                </c:pt>
                <c:pt idx="3">
                  <c:v>PayPal</c:v>
                </c:pt>
                <c:pt idx="4">
                  <c:v>Transfer</c:v>
                </c:pt>
              </c:strCache>
            </c:strRef>
          </c:cat>
          <c:val>
            <c:numRef>
              <c:f>'Payment methods'!$B$4:$B$9</c:f>
              <c:numCache>
                <c:formatCode>General</c:formatCode>
                <c:ptCount val="5"/>
                <c:pt idx="0">
                  <c:v>13250</c:v>
                </c:pt>
                <c:pt idx="1">
                  <c:v>19350</c:v>
                </c:pt>
                <c:pt idx="2">
                  <c:v>3712.5</c:v>
                </c:pt>
                <c:pt idx="3">
                  <c:v>23050</c:v>
                </c:pt>
                <c:pt idx="4">
                  <c:v>69970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6-4B79-86F9-0D62144DE09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&amp; Reporting Automation.xlsx]Profit By Department!PivotTable4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Profit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Department'!$A$4:$A$8</c:f>
              <c:strCache>
                <c:ptCount val="4"/>
                <c:pt idx="0">
                  <c:v>Big Data</c:v>
                </c:pt>
                <c:pt idx="1">
                  <c:v>Cloud Tech</c:v>
                </c:pt>
                <c:pt idx="2">
                  <c:v>Operations</c:v>
                </c:pt>
                <c:pt idx="3">
                  <c:v>Strategy</c:v>
                </c:pt>
              </c:strCache>
            </c:strRef>
          </c:cat>
          <c:val>
            <c:numRef>
              <c:f>'Profit By Department'!$B$4:$B$8</c:f>
              <c:numCache>
                <c:formatCode>"$"#,##0.00</c:formatCode>
                <c:ptCount val="4"/>
                <c:pt idx="0">
                  <c:v>7738</c:v>
                </c:pt>
                <c:pt idx="1">
                  <c:v>8076</c:v>
                </c:pt>
                <c:pt idx="2">
                  <c:v>4204</c:v>
                </c:pt>
                <c:pt idx="3">
                  <c:v>8827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B-4D5B-90C3-5B74071E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311183"/>
        <c:axId val="397327823"/>
      </c:barChart>
      <c:catAx>
        <c:axId val="3973111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27823"/>
        <c:crosses val="autoZero"/>
        <c:auto val="1"/>
        <c:lblAlgn val="ctr"/>
        <c:lblOffset val="100"/>
        <c:noMultiLvlLbl val="0"/>
      </c:catAx>
      <c:valAx>
        <c:axId val="39732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9</xdr:row>
      <xdr:rowOff>168275</xdr:rowOff>
    </xdr:from>
    <xdr:to>
      <xdr:col>10</xdr:col>
      <xdr:colOff>136525</xdr:colOff>
      <xdr:row>23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0EFCD-B4CB-4706-A324-6BEB81FC2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193675</xdr:colOff>
      <xdr:row>4</xdr:row>
      <xdr:rowOff>98425</xdr:rowOff>
    </xdr:from>
    <xdr:to>
      <xdr:col>8</xdr:col>
      <xdr:colOff>304800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38E60-C889-4554-A715-52B095903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4</xdr:row>
      <xdr:rowOff>142875</xdr:rowOff>
    </xdr:from>
    <xdr:to>
      <xdr:col>10</xdr:col>
      <xdr:colOff>209549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08B77-6916-45DF-8CD3-8B03BC79D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314.67539571759" createdVersion="7" refreshedVersion="7" minRefreshableVersion="3" recordCount="28" xr:uid="{7B84036D-78FB-4FDA-9C4C-ABCD01C8657A}">
  <cacheSource type="worksheet">
    <worksheetSource ref="B2:J30" sheet="Cleaned Data"/>
  </cacheSource>
  <cacheFields count="9">
    <cacheField name="Date" numFmtId="14">
      <sharedItems containsSemiMixedTypes="0" containsNonDate="0" containsDate="1" containsString="0" minDate="2023-05-30T00:00:00" maxDate="2023-06-03T00:00:00"/>
    </cacheField>
    <cacheField name="Client" numFmtId="0">
      <sharedItems/>
    </cacheField>
    <cacheField name="Contact" numFmtId="0">
      <sharedItems/>
    </cacheField>
    <cacheField name="Department" numFmtId="0">
      <sharedItems count="4">
        <s v="Cloud Tech"/>
        <s v="Strategy"/>
        <s v="Operations"/>
        <s v="Big Data"/>
      </sharedItems>
    </cacheField>
    <cacheField name="Region" numFmtId="0">
      <sharedItems count="4">
        <s v="Texas"/>
        <s v="New York"/>
        <s v="Florida"/>
        <s v="California"/>
      </sharedItems>
    </cacheField>
    <cacheField name="Payment" numFmtId="0">
      <sharedItems count="5">
        <s v="Transfer"/>
        <s v="PayPal"/>
        <s v="NA"/>
        <s v="Check"/>
        <s v="Card"/>
      </sharedItems>
    </cacheField>
    <cacheField name="Revenue" numFmtId="6">
      <sharedItems containsMixedTypes="1" containsNumber="1" minValue="3600" maxValue="7500"/>
    </cacheField>
    <cacheField name="Profit" numFmtId="6">
      <sharedItems containsSemiMixedTypes="0" containsString="0" containsNumber="1" containsInteger="1" minValue="540" maxValue="2045"/>
    </cacheField>
    <cacheField name="Profit Margin" numFmtId="164">
      <sharedItems containsMixedTypes="1" containsNumber="1" minValue="8.9180327868852466E-2" maxValue="0.538157894736842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3-05-30T00:00:00"/>
    <s v="amazon.com, inc. "/>
    <s v="Bill Smith"/>
    <x v="0"/>
    <x v="0"/>
    <x v="0"/>
    <n v="4500"/>
    <n v="598"/>
    <n v="0.13288888888888889"/>
  </r>
  <r>
    <d v="2023-05-30T00:00:00"/>
    <s v="tesla, inc. "/>
    <s v="Ken Singh"/>
    <x v="1"/>
    <x v="1"/>
    <x v="1"/>
    <n v="3800"/>
    <n v="1045"/>
    <n v="0.27500000000000002"/>
  </r>
  <r>
    <d v="2023-05-30T00:00:00"/>
    <s v="netflix, inc. "/>
    <s v="Harley Fritz"/>
    <x v="1"/>
    <x v="1"/>
    <x v="2"/>
    <n v="3712.5"/>
    <n v="1009"/>
    <n v="0.2717845117845118"/>
  </r>
  <r>
    <d v="2023-05-30T00:00:00"/>
    <s v="the procter &amp; gamble company "/>
    <s v="Nyla Novak"/>
    <x v="2"/>
    <x v="2"/>
    <x v="2"/>
    <s v="NA"/>
    <n v="779"/>
    <s v="NA"/>
  </r>
  <r>
    <d v="2023-05-30T00:00:00"/>
    <s v="the goldman sachs group, inc. "/>
    <s v="David Rasmussen"/>
    <x v="2"/>
    <x v="2"/>
    <x v="3"/>
    <n v="5000"/>
    <n v="684"/>
    <n v="0.1368"/>
  </r>
  <r>
    <d v="2023-05-31T00:00:00"/>
    <s v="jpmorgan chase &amp; co. "/>
    <s v="Ivan Hiney"/>
    <x v="0"/>
    <x v="0"/>
    <x v="0"/>
    <n v="6100"/>
    <n v="544"/>
    <n v="8.9180327868852466E-2"/>
  </r>
  <r>
    <d v="2023-05-31T00:00:00"/>
    <s v="morgan stanley "/>
    <s v="Jonha Ma"/>
    <x v="0"/>
    <x v="0"/>
    <x v="0"/>
    <n v="4625"/>
    <n v="670"/>
    <n v="0.14486486486486486"/>
  </r>
  <r>
    <d v="2023-05-31T00:00:00"/>
    <s v="citigroup inc. "/>
    <s v="Jordan Boone"/>
    <x v="0"/>
    <x v="0"/>
    <x v="0"/>
    <n v="3800"/>
    <n v="2045"/>
    <n v="0.53815789473684206"/>
  </r>
  <r>
    <d v="2023-05-31T00:00:00"/>
    <s v="bank of america corporation "/>
    <s v="Kylee Townsend"/>
    <x v="0"/>
    <x v="0"/>
    <x v="4"/>
    <n v="3600"/>
    <n v="1564"/>
    <n v="0.43444444444444447"/>
  </r>
  <r>
    <d v="2023-05-31T00:00:00"/>
    <s v="walmart inc. "/>
    <s v="Nora Rollins"/>
    <x v="0"/>
    <x v="0"/>
    <x v="3"/>
    <n v="5100"/>
    <n v="1220"/>
    <n v="0.23921568627450981"/>
  </r>
  <r>
    <d v="2023-05-31T00:00:00"/>
    <s v="target corporation "/>
    <s v="Brendan Wallace"/>
    <x v="0"/>
    <x v="0"/>
    <x v="3"/>
    <n v="4750"/>
    <n v="1435"/>
    <n v="0.30210526315789471"/>
  </r>
  <r>
    <d v="2023-05-31T00:00:00"/>
    <s v="costco wholesale corporation "/>
    <s v="Conor Wise"/>
    <x v="2"/>
    <x v="2"/>
    <x v="0"/>
    <n v="6000"/>
    <n v="998"/>
    <n v="0.16633333333333333"/>
  </r>
  <r>
    <d v="2023-05-31T00:00:00"/>
    <s v="mcdonald's corporation "/>
    <s v="Steven Michael"/>
    <x v="3"/>
    <x v="3"/>
    <x v="3"/>
    <n v="4500"/>
    <n v="780"/>
    <n v="0.17333333333333334"/>
  </r>
  <r>
    <d v="2023-06-01T00:00:00"/>
    <s v="exxon mobil corporation "/>
    <s v="Lucia Mckay"/>
    <x v="3"/>
    <x v="3"/>
    <x v="4"/>
    <s v="NA"/>
    <n v="1044"/>
    <s v="NA"/>
  </r>
  <r>
    <d v="2023-06-01T00:00:00"/>
    <s v="verizon communications inc. "/>
    <s v="Jose Roach"/>
    <x v="3"/>
    <x v="3"/>
    <x v="0"/>
    <n v="3712.5"/>
    <n v="1222"/>
    <n v="0.32915824915824915"/>
  </r>
  <r>
    <d v="2023-06-01T00:00:00"/>
    <s v="the home depot, inc. "/>
    <s v="Franklin Wrigt"/>
    <x v="3"/>
    <x v="3"/>
    <x v="0"/>
    <n v="4950"/>
    <n v="1065"/>
    <n v="0.21515151515151515"/>
  </r>
  <r>
    <d v="2023-06-01T00:00:00"/>
    <s v="cisco systems, inc. "/>
    <s v="Alia Thornton"/>
    <x v="2"/>
    <x v="2"/>
    <x v="0"/>
    <n v="4750"/>
    <n v="810"/>
    <n v="0.17052631578947369"/>
  </r>
  <r>
    <d v="2023-06-01T00:00:00"/>
    <s v="chevron corporation "/>
    <s v="Denzel Flores"/>
    <x v="2"/>
    <x v="2"/>
    <x v="0"/>
    <n v="7320"/>
    <n v="933"/>
    <n v="0.12745901639344262"/>
  </r>
  <r>
    <d v="2023-06-01T00:00:00"/>
    <s v="at&amp;t inc. "/>
    <s v="Bruno Cordova"/>
    <x v="3"/>
    <x v="3"/>
    <x v="0"/>
    <n v="5087.5"/>
    <n v="655"/>
    <n v="0.12874692874692875"/>
  </r>
  <r>
    <d v="2023-06-01T00:00:00"/>
    <s v="intel corporation "/>
    <s v="Jaylynn Napp"/>
    <x v="3"/>
    <x v="3"/>
    <x v="0"/>
    <n v="4500"/>
    <n v="722"/>
    <n v="0.16044444444444445"/>
  </r>
  <r>
    <d v="2023-06-01T00:00:00"/>
    <s v="general motors company "/>
    <s v="Bruce Rich"/>
    <x v="3"/>
    <x v="3"/>
    <x v="4"/>
    <n v="4250"/>
    <n v="901"/>
    <n v="0.21199999999999999"/>
  </r>
  <r>
    <d v="2023-06-02T00:00:00"/>
    <s v="microsoft corporation "/>
    <s v="Arturo Moore"/>
    <x v="3"/>
    <x v="3"/>
    <x v="1"/>
    <n v="5250"/>
    <n v="1349"/>
    <n v="0.25695238095238093"/>
  </r>
  <r>
    <d v="2023-06-02T00:00:00"/>
    <s v="comcast corporation "/>
    <s v="Bryce Carpenter"/>
    <x v="1"/>
    <x v="1"/>
    <x v="1"/>
    <n v="6500"/>
    <n v="1288"/>
    <n v="0.19815384615384615"/>
  </r>
  <r>
    <d v="2023-06-02T00:00:00"/>
    <s v="dell technologies inc. "/>
    <s v="Jaidyn Andersen"/>
    <x v="1"/>
    <x v="1"/>
    <x v="1"/>
    <n v="7500"/>
    <n v="1664"/>
    <n v="0.22186666666666666"/>
  </r>
  <r>
    <d v="2023-06-02T00:00:00"/>
    <s v="johnson &amp; johnson "/>
    <s v="Mark Walm"/>
    <x v="1"/>
    <x v="1"/>
    <x v="0"/>
    <n v="5500"/>
    <n v="1320"/>
    <n v="0.24"/>
  </r>
  <r>
    <d v="2023-06-02T00:00:00"/>
    <s v="fedex corporation "/>
    <s v="Harry Lee"/>
    <x v="1"/>
    <x v="1"/>
    <x v="0"/>
    <n v="4625"/>
    <n v="1001"/>
    <n v="0.21643243243243243"/>
  </r>
  <r>
    <d v="2023-06-02T00:00:00"/>
    <s v="general electric company "/>
    <s v="Josh Johnson"/>
    <x v="1"/>
    <x v="1"/>
    <x v="0"/>
    <n v="4500"/>
    <n v="960"/>
    <n v="0.21333333333333335"/>
  </r>
  <r>
    <d v="2023-06-02T00:00:00"/>
    <s v="lockheed martin corporation "/>
    <s v="Mik Naam"/>
    <x v="1"/>
    <x v="1"/>
    <x v="4"/>
    <n v="5400"/>
    <n v="54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FDD91-4BC7-4670-A906-DDC10A24DBE4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F9" firstHeaderRow="1" firstDataRow="2" firstDataCol="1"/>
  <pivotFields count="9">
    <pivotField numFmtId="14"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numFmtId="6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6" baseField="4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FD8BD-9EAA-4B24-8032-8DBE405D00FE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9">
    <pivotField numFmtId="14"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/>
    <pivotField numFmtId="6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5" baseItem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F1596-4D82-4EDC-B5B9-0F16B751B58A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9">
    <pivotField numFmtId="1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numFmtId="6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7" baseField="0" baseItem="0" numFmtId="16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62AD-3042-4925-BD62-212D8105B546}">
  <dimension ref="B2:I42"/>
  <sheetViews>
    <sheetView zoomScaleNormal="100" workbookViewId="0">
      <selection activeCell="B1" sqref="B1"/>
    </sheetView>
  </sheetViews>
  <sheetFormatPr defaultColWidth="10.6640625" defaultRowHeight="15.5" x14ac:dyDescent="0.35"/>
  <cols>
    <col min="1" max="1" width="6.6640625" customWidth="1"/>
    <col min="2" max="2" width="7.1640625" customWidth="1"/>
    <col min="3" max="3" width="11" customWidth="1"/>
    <col min="6" max="6" width="15" customWidth="1"/>
    <col min="7" max="7" width="6.6640625" customWidth="1"/>
    <col min="9" max="9" width="5.5" customWidth="1"/>
  </cols>
  <sheetData>
    <row r="2" spans="2:9" x14ac:dyDescent="0.3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" customHeight="1" x14ac:dyDescent="0.3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" customHeight="1" x14ac:dyDescent="0.3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ht="8" customHeight="1" x14ac:dyDescent="0.3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  <row r="34" spans="2:9" x14ac:dyDescent="0.35">
      <c r="G34" s="1"/>
    </row>
    <row r="35" spans="2:9" x14ac:dyDescent="0.35">
      <c r="G35" s="1"/>
    </row>
    <row r="36" spans="2:9" x14ac:dyDescent="0.35">
      <c r="G36" s="1"/>
    </row>
    <row r="37" spans="2:9" x14ac:dyDescent="0.35">
      <c r="G37" s="1"/>
    </row>
    <row r="38" spans="2:9" x14ac:dyDescent="0.35">
      <c r="G38" s="1"/>
    </row>
    <row r="39" spans="2:9" x14ac:dyDescent="0.35">
      <c r="G39" s="1"/>
    </row>
    <row r="40" spans="2:9" x14ac:dyDescent="0.35">
      <c r="G40" s="1"/>
    </row>
    <row r="41" spans="2:9" x14ac:dyDescent="0.35">
      <c r="G41" s="1"/>
    </row>
    <row r="42" spans="2:9" x14ac:dyDescent="0.3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="98" zoomScaleNormal="98" workbookViewId="0">
      <selection activeCell="C14" sqref="C14"/>
    </sheetView>
  </sheetViews>
  <sheetFormatPr defaultColWidth="10.6640625" defaultRowHeight="15.5" x14ac:dyDescent="0.35"/>
  <cols>
    <col min="1" max="1" width="6.6640625" customWidth="1"/>
    <col min="2" max="2" width="9.25" bestFit="1" customWidth="1"/>
    <col min="3" max="3" width="31.5" customWidth="1"/>
    <col min="4" max="4" width="16.33203125" customWidth="1"/>
    <col min="5" max="5" width="16.75" bestFit="1" customWidth="1"/>
    <col min="6" max="6" width="16.75" customWidth="1"/>
    <col min="7" max="7" width="8" bestFit="1" customWidth="1"/>
    <col min="8" max="8" width="7.9140625" bestFit="1" customWidth="1"/>
    <col min="9" max="9" width="6.83203125" bestFit="1" customWidth="1"/>
    <col min="10" max="10" width="11.58203125" bestFit="1" customWidth="1"/>
  </cols>
  <sheetData>
    <row r="2" spans="2:10" x14ac:dyDescent="0.35">
      <c r="B2" s="5" t="s">
        <v>0</v>
      </c>
      <c r="C2" s="5" t="s">
        <v>5</v>
      </c>
      <c r="D2" s="6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5"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5"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>IFERROR(I4/H4,"NA")</f>
        <v>0.27500000000000002</v>
      </c>
    </row>
    <row r="5" spans="2:10" x14ac:dyDescent="0.35"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132</v>
      </c>
      <c r="H5" s="1">
        <v>3712.5</v>
      </c>
      <c r="I5" s="1">
        <v>1009</v>
      </c>
      <c r="J5" s="2">
        <f>IFERROR(I5/H5,"NA")</f>
        <v>0.2717845117845118</v>
      </c>
    </row>
    <row r="6" spans="2:10" x14ac:dyDescent="0.35"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132</v>
      </c>
      <c r="H6" s="1" t="s">
        <v>132</v>
      </c>
      <c r="I6" s="1">
        <v>779</v>
      </c>
      <c r="J6" s="2" t="str">
        <f>IFERROR(I6/H6,"NA")</f>
        <v>NA</v>
      </c>
    </row>
    <row r="7" spans="2:10" x14ac:dyDescent="0.35"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>IFERROR(I7/H7,"NA")</f>
        <v>0.1368</v>
      </c>
    </row>
    <row r="8" spans="2:10" x14ac:dyDescent="0.35"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1">
        <v>6100</v>
      </c>
      <c r="I8" s="1">
        <v>544</v>
      </c>
      <c r="J8" s="2">
        <f>IFERROR(I8/H8,"NA")</f>
        <v>8.9180327868852466E-2</v>
      </c>
    </row>
    <row r="9" spans="2:10" x14ac:dyDescent="0.35"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1">
        <v>4625</v>
      </c>
      <c r="I9" s="1">
        <v>670</v>
      </c>
      <c r="J9" s="2">
        <f>IFERROR(I9/H9,"NA")</f>
        <v>0.14486486486486486</v>
      </c>
    </row>
    <row r="10" spans="2:10" x14ac:dyDescent="0.35"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1">
        <v>3800</v>
      </c>
      <c r="I10" s="1">
        <v>2045</v>
      </c>
      <c r="J10" s="2">
        <f>IFERROR(I10/H10,"NA")</f>
        <v>0.53815789473684206</v>
      </c>
    </row>
    <row r="11" spans="2:10" x14ac:dyDescent="0.35"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1">
        <v>3600</v>
      </c>
      <c r="I11" s="1">
        <v>1564</v>
      </c>
      <c r="J11" s="2">
        <f>IFERROR(I11/H11,"NA")</f>
        <v>0.43444444444444447</v>
      </c>
    </row>
    <row r="12" spans="2:10" x14ac:dyDescent="0.35"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1">
        <v>5100</v>
      </c>
      <c r="I12" s="1">
        <v>1220</v>
      </c>
      <c r="J12" s="2">
        <f>IFERROR(I12/H12,"NA")</f>
        <v>0.23921568627450981</v>
      </c>
    </row>
    <row r="13" spans="2:10" x14ac:dyDescent="0.35"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1">
        <v>4750</v>
      </c>
      <c r="I13" s="1">
        <v>1435</v>
      </c>
      <c r="J13" s="2">
        <f>IFERROR(I13/H13,"NA")</f>
        <v>0.30210526315789471</v>
      </c>
    </row>
    <row r="14" spans="2:10" x14ac:dyDescent="0.35"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>IFERROR(I14/H14,"NA")</f>
        <v>0.16633333333333333</v>
      </c>
    </row>
    <row r="15" spans="2:10" x14ac:dyDescent="0.35"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1">
        <v>4500</v>
      </c>
      <c r="I15" s="1">
        <v>780</v>
      </c>
      <c r="J15" s="2">
        <f>IFERROR(I15/H15,"NA")</f>
        <v>0.17333333333333334</v>
      </c>
    </row>
    <row r="16" spans="2:10" x14ac:dyDescent="0.35"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1" t="s">
        <v>132</v>
      </c>
      <c r="I16" s="1">
        <v>1044</v>
      </c>
      <c r="J16" s="2" t="str">
        <f>IFERROR(I16/H16,"NA")</f>
        <v>NA</v>
      </c>
    </row>
    <row r="17" spans="2:10" x14ac:dyDescent="0.35"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1">
        <v>3712.5</v>
      </c>
      <c r="I17" s="1">
        <v>1222</v>
      </c>
      <c r="J17" s="2">
        <f>IFERROR(I17/H17,"NA")</f>
        <v>0.32915824915824915</v>
      </c>
    </row>
    <row r="18" spans="2:10" x14ac:dyDescent="0.35"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1">
        <v>4950</v>
      </c>
      <c r="I18" s="1">
        <v>1065</v>
      </c>
      <c r="J18" s="2">
        <f>IFERROR(I18/H18,"NA")</f>
        <v>0.21515151515151515</v>
      </c>
    </row>
    <row r="19" spans="2:10" x14ac:dyDescent="0.35"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>IFERROR(I19/H19,"NA")</f>
        <v>0.17052631578947369</v>
      </c>
    </row>
    <row r="20" spans="2:10" x14ac:dyDescent="0.35"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>IFERROR(I20/H20,"NA")</f>
        <v>0.12745901639344262</v>
      </c>
    </row>
    <row r="21" spans="2:10" x14ac:dyDescent="0.35"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1">
        <v>5087.5</v>
      </c>
      <c r="I21" s="1">
        <v>655</v>
      </c>
      <c r="J21" s="2">
        <f>IFERROR(I21/H21,"NA")</f>
        <v>0.12874692874692875</v>
      </c>
    </row>
    <row r="22" spans="2:10" x14ac:dyDescent="0.35"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1">
        <v>4500</v>
      </c>
      <c r="I22" s="1">
        <v>722</v>
      </c>
      <c r="J22" s="2">
        <f>IFERROR(I22/H22,"NA")</f>
        <v>0.16044444444444445</v>
      </c>
    </row>
    <row r="23" spans="2:10" x14ac:dyDescent="0.35"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1">
        <v>4250</v>
      </c>
      <c r="I23" s="1">
        <v>901</v>
      </c>
      <c r="J23" s="2">
        <f>IFERROR(I23/H23,"NA")</f>
        <v>0.21199999999999999</v>
      </c>
    </row>
    <row r="24" spans="2:10" x14ac:dyDescent="0.35"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1">
        <v>5250</v>
      </c>
      <c r="I24" s="1">
        <v>1349</v>
      </c>
      <c r="J24" s="2">
        <f>IFERROR(I24/H24,"NA")</f>
        <v>0.25695238095238093</v>
      </c>
    </row>
    <row r="25" spans="2:10" x14ac:dyDescent="0.35"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1">
        <v>6500</v>
      </c>
      <c r="I25" s="1">
        <v>1288</v>
      </c>
      <c r="J25" s="2">
        <f>IFERROR(I25/H25,"NA")</f>
        <v>0.19815384615384615</v>
      </c>
    </row>
    <row r="26" spans="2:10" x14ac:dyDescent="0.35"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1">
        <v>7500</v>
      </c>
      <c r="I26" s="1">
        <v>1664</v>
      </c>
      <c r="J26" s="2">
        <f>IFERROR(I26/H26,"NA")</f>
        <v>0.22186666666666666</v>
      </c>
    </row>
    <row r="27" spans="2:10" x14ac:dyDescent="0.35"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1">
        <v>5500</v>
      </c>
      <c r="I27" s="1">
        <v>1320</v>
      </c>
      <c r="J27" s="2">
        <f>IFERROR(I27/H27,"NA")</f>
        <v>0.24</v>
      </c>
    </row>
    <row r="28" spans="2:10" x14ac:dyDescent="0.35"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1">
        <v>4625</v>
      </c>
      <c r="I28" s="1">
        <v>1001</v>
      </c>
      <c r="J28" s="2">
        <f>IFERROR(I28/H28,"NA")</f>
        <v>0.21643243243243243</v>
      </c>
    </row>
    <row r="29" spans="2:10" x14ac:dyDescent="0.35"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1">
        <v>4500</v>
      </c>
      <c r="I29" s="1">
        <v>960</v>
      </c>
      <c r="J29" s="2">
        <f>IFERROR(I29/H29,"NA")</f>
        <v>0.21333333333333335</v>
      </c>
    </row>
    <row r="30" spans="2:10" x14ac:dyDescent="0.35"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1">
        <v>5400</v>
      </c>
      <c r="I30" s="1">
        <v>540</v>
      </c>
      <c r="J30" s="2">
        <f>IFERROR(I30/H30,"NA")</f>
        <v>0.1</v>
      </c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</sheetData>
  <conditionalFormatting sqref="B2:J30">
    <cfRule type="cellIs" dxfId="3" priority="1" operator="equal">
      <formula>"NA"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BACE-01FB-4AFE-A7BD-5E818CD14E08}">
  <dimension ref="A3:F9"/>
  <sheetViews>
    <sheetView workbookViewId="0">
      <selection activeCell="C19" sqref="C19"/>
    </sheetView>
  </sheetViews>
  <sheetFormatPr defaultRowHeight="15.5" x14ac:dyDescent="0.35"/>
  <cols>
    <col min="1" max="1" width="14.33203125" bestFit="1" customWidth="1"/>
    <col min="2" max="2" width="15.08203125" bestFit="1" customWidth="1"/>
    <col min="3" max="3" width="9.9140625" bestFit="1" customWidth="1"/>
    <col min="4" max="4" width="10.08203125" bestFit="1" customWidth="1"/>
    <col min="5" max="5" width="7.75" bestFit="1" customWidth="1"/>
    <col min="6" max="6" width="10.58203125" bestFit="1" customWidth="1"/>
  </cols>
  <sheetData>
    <row r="3" spans="1:6" x14ac:dyDescent="0.35">
      <c r="A3" s="7" t="s">
        <v>134</v>
      </c>
      <c r="B3" s="7" t="s">
        <v>137</v>
      </c>
    </row>
    <row r="4" spans="1:6" x14ac:dyDescent="0.35">
      <c r="A4" s="7" t="s">
        <v>133</v>
      </c>
      <c r="B4" t="s">
        <v>130</v>
      </c>
      <c r="C4" t="s">
        <v>124</v>
      </c>
      <c r="D4" t="s">
        <v>128</v>
      </c>
      <c r="E4" t="s">
        <v>126</v>
      </c>
      <c r="F4" t="s">
        <v>135</v>
      </c>
    </row>
    <row r="5" spans="1:6" x14ac:dyDescent="0.35">
      <c r="A5" s="8" t="s">
        <v>131</v>
      </c>
      <c r="B5" s="9">
        <v>32250</v>
      </c>
      <c r="C5" s="9"/>
      <c r="D5" s="9"/>
      <c r="E5" s="9"/>
      <c r="F5" s="9">
        <v>32250</v>
      </c>
    </row>
    <row r="6" spans="1:6" x14ac:dyDescent="0.35">
      <c r="A6" s="8" t="s">
        <v>129</v>
      </c>
      <c r="B6" s="9"/>
      <c r="C6" s="9"/>
      <c r="D6" s="9">
        <v>23070</v>
      </c>
      <c r="E6" s="9"/>
      <c r="F6" s="9">
        <v>23070</v>
      </c>
    </row>
    <row r="7" spans="1:6" x14ac:dyDescent="0.35">
      <c r="A7" s="8" t="s">
        <v>127</v>
      </c>
      <c r="B7" s="9"/>
      <c r="C7" s="9"/>
      <c r="D7" s="9"/>
      <c r="E7" s="9">
        <v>41537.5</v>
      </c>
      <c r="F7" s="9">
        <v>41537.5</v>
      </c>
    </row>
    <row r="8" spans="1:6" x14ac:dyDescent="0.35">
      <c r="A8" s="8" t="s">
        <v>125</v>
      </c>
      <c r="B8" s="9"/>
      <c r="C8" s="9">
        <v>32475</v>
      </c>
      <c r="D8" s="9"/>
      <c r="E8" s="9"/>
      <c r="F8" s="9">
        <v>32475</v>
      </c>
    </row>
    <row r="9" spans="1:6" x14ac:dyDescent="0.35">
      <c r="A9" s="8" t="s">
        <v>135</v>
      </c>
      <c r="B9" s="9">
        <v>32250</v>
      </c>
      <c r="C9" s="9">
        <v>32475</v>
      </c>
      <c r="D9" s="9">
        <v>23070</v>
      </c>
      <c r="E9" s="9">
        <v>41537.5</v>
      </c>
      <c r="F9" s="9">
        <v>129332.5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64F7-7E1A-4C1A-8CC4-703C75AFE4E6}">
  <dimension ref="A3:B9"/>
  <sheetViews>
    <sheetView workbookViewId="0">
      <selection activeCell="K11" sqref="K11"/>
    </sheetView>
  </sheetViews>
  <sheetFormatPr defaultRowHeight="15.5" x14ac:dyDescent="0.35"/>
  <cols>
    <col min="1" max="1" width="12.25" bestFit="1" customWidth="1"/>
    <col min="2" max="2" width="14.33203125" bestFit="1" customWidth="1"/>
  </cols>
  <sheetData>
    <row r="3" spans="1:2" x14ac:dyDescent="0.35">
      <c r="A3" s="7" t="s">
        <v>133</v>
      </c>
      <c r="B3" t="s">
        <v>134</v>
      </c>
    </row>
    <row r="4" spans="1:2" x14ac:dyDescent="0.35">
      <c r="A4" s="8" t="s">
        <v>48</v>
      </c>
      <c r="B4" s="9">
        <v>13250</v>
      </c>
    </row>
    <row r="5" spans="1:2" x14ac:dyDescent="0.35">
      <c r="A5" s="8" t="s">
        <v>50</v>
      </c>
      <c r="B5" s="9">
        <v>19350</v>
      </c>
    </row>
    <row r="6" spans="1:2" x14ac:dyDescent="0.35">
      <c r="A6" s="8" t="s">
        <v>132</v>
      </c>
      <c r="B6" s="9">
        <v>3712.5</v>
      </c>
    </row>
    <row r="7" spans="1:2" x14ac:dyDescent="0.35">
      <c r="A7" s="8" t="s">
        <v>49</v>
      </c>
      <c r="B7" s="9">
        <v>23050</v>
      </c>
    </row>
    <row r="8" spans="1:2" x14ac:dyDescent="0.35">
      <c r="A8" s="8" t="s">
        <v>51</v>
      </c>
      <c r="B8" s="9">
        <v>69970</v>
      </c>
    </row>
    <row r="9" spans="1:2" x14ac:dyDescent="0.35">
      <c r="A9" s="8" t="s">
        <v>135</v>
      </c>
      <c r="B9" s="9">
        <v>129332.5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4EB5-7C55-4E72-9068-3BED6DE7E2C0}">
  <dimension ref="A3:B8"/>
  <sheetViews>
    <sheetView workbookViewId="0">
      <selection activeCell="G21" sqref="G21"/>
    </sheetView>
  </sheetViews>
  <sheetFormatPr defaultRowHeight="15.5" x14ac:dyDescent="0.35"/>
  <cols>
    <col min="1" max="1" width="12.25" bestFit="1" customWidth="1"/>
    <col min="2" max="2" width="11.75" bestFit="1" customWidth="1"/>
  </cols>
  <sheetData>
    <row r="3" spans="1:2" x14ac:dyDescent="0.35">
      <c r="A3" s="7" t="s">
        <v>133</v>
      </c>
      <c r="B3" s="10" t="s">
        <v>136</v>
      </c>
    </row>
    <row r="4" spans="1:2" x14ac:dyDescent="0.35">
      <c r="A4" s="8" t="s">
        <v>130</v>
      </c>
      <c r="B4" s="10">
        <v>7738</v>
      </c>
    </row>
    <row r="5" spans="1:2" x14ac:dyDescent="0.35">
      <c r="A5" s="8" t="s">
        <v>124</v>
      </c>
      <c r="B5" s="10">
        <v>8076</v>
      </c>
    </row>
    <row r="6" spans="1:2" x14ac:dyDescent="0.35">
      <c r="A6" s="8" t="s">
        <v>128</v>
      </c>
      <c r="B6" s="10">
        <v>4204</v>
      </c>
    </row>
    <row r="7" spans="1:2" x14ac:dyDescent="0.35">
      <c r="A7" s="8" t="s">
        <v>126</v>
      </c>
      <c r="B7" s="10">
        <v>8827</v>
      </c>
    </row>
    <row r="8" spans="1:2" x14ac:dyDescent="0.35">
      <c r="A8" s="8" t="s">
        <v>135</v>
      </c>
      <c r="B8" s="10">
        <v>28845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Revenue By region &amp; Department</vt:lpstr>
      <vt:lpstr>Payment methods</vt:lpstr>
      <vt:lpstr>Profit By 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home</cp:lastModifiedBy>
  <dcterms:created xsi:type="dcterms:W3CDTF">2023-05-29T07:26:35Z</dcterms:created>
  <dcterms:modified xsi:type="dcterms:W3CDTF">2026-10-19T11:02:23Z</dcterms:modified>
</cp:coreProperties>
</file>